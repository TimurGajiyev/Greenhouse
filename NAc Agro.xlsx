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richardharazim/Synology720/RH/Z VK/Battery eff/"/>
    </mc:Choice>
  </mc:AlternateContent>
  <xr:revisionPtr revIDLastSave="0" documentId="13_ncr:1_{725D4723-C274-1048-9F4D-47BA8F35A34F}" xr6:coauthVersionLast="47" xr6:coauthVersionMax="47" xr10:uidLastSave="{00000000-0000-0000-0000-000000000000}"/>
  <bookViews>
    <workbookView xWindow="20" yWindow="620" windowWidth="51200" windowHeight="20980" xr2:uid="{19218723-D6EF-BB42-8CAF-4104BCDD827D}"/>
  </bookViews>
  <sheets>
    <sheet name="Sheet1" sheetId="1" r:id="rId1"/>
    <sheet name="Source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31" i="1" l="1"/>
  <c r="I32" i="1"/>
  <c r="I33" i="1"/>
  <c r="I34" i="1"/>
  <c r="I35" i="1"/>
  <c r="I36" i="1"/>
  <c r="I37" i="1"/>
  <c r="I38" i="1"/>
  <c r="I39" i="1"/>
  <c r="I40" i="1"/>
  <c r="I41" i="1"/>
  <c r="I30" i="1"/>
  <c r="O13" i="1" l="1"/>
  <c r="U40" i="1" s="1"/>
  <c r="O14" i="1"/>
  <c r="U41" i="1" s="1"/>
  <c r="B31" i="1"/>
  <c r="B32" i="1"/>
  <c r="B33" i="1"/>
  <c r="B34" i="1"/>
  <c r="B39" i="1"/>
  <c r="B40" i="1"/>
  <c r="B41" i="1"/>
  <c r="B30" i="1"/>
  <c r="U22" i="1"/>
  <c r="E8" i="1"/>
  <c r="O8" i="1" s="1"/>
  <c r="U35" i="1" s="1"/>
  <c r="E12" i="1"/>
  <c r="O12" i="1" s="1"/>
  <c r="U39" i="1" s="1"/>
  <c r="F12" i="1"/>
  <c r="K12" i="1" s="1"/>
  <c r="U9" i="1"/>
  <c r="U21" i="1" s="1"/>
  <c r="H31" i="1"/>
  <c r="H32" i="1"/>
  <c r="H33" i="1"/>
  <c r="H34" i="1"/>
  <c r="H35" i="1"/>
  <c r="H36" i="1"/>
  <c r="H37" i="1"/>
  <c r="H38" i="1"/>
  <c r="H39" i="1"/>
  <c r="H40" i="1"/>
  <c r="H41" i="1"/>
  <c r="H30" i="1"/>
  <c r="D4" i="1"/>
  <c r="E4" i="1" s="1"/>
  <c r="O4" i="1" s="1"/>
  <c r="U31" i="1" s="1"/>
  <c r="D5" i="1"/>
  <c r="F5" i="1" s="1"/>
  <c r="D6" i="1"/>
  <c r="E6" i="1" s="1"/>
  <c r="O6" i="1" s="1"/>
  <c r="U33" i="1" s="1"/>
  <c r="D7" i="1"/>
  <c r="E7" i="1" s="1"/>
  <c r="O7" i="1" s="1"/>
  <c r="U34" i="1" s="1"/>
  <c r="D8" i="1"/>
  <c r="B35" i="1" s="1"/>
  <c r="D9" i="1"/>
  <c r="E9" i="1" s="1"/>
  <c r="O9" i="1" s="1"/>
  <c r="U36" i="1" s="1"/>
  <c r="D10" i="1"/>
  <c r="E10" i="1" s="1"/>
  <c r="O10" i="1" s="1"/>
  <c r="U37" i="1" s="1"/>
  <c r="D11" i="1"/>
  <c r="E11" i="1" s="1"/>
  <c r="O11" i="1" s="1"/>
  <c r="U38" i="1" s="1"/>
  <c r="D12" i="1"/>
  <c r="D13" i="1"/>
  <c r="E13" i="1" s="1"/>
  <c r="D14" i="1"/>
  <c r="E14" i="1" s="1"/>
  <c r="D3" i="1"/>
  <c r="F3" i="1" s="1"/>
  <c r="K3" i="1" s="1"/>
  <c r="T5" i="1"/>
  <c r="F11" i="1" l="1"/>
  <c r="K11" i="1" s="1"/>
  <c r="F10" i="1"/>
  <c r="F9" i="1"/>
  <c r="M9" i="1" s="1"/>
  <c r="N9" i="1" s="1"/>
  <c r="F8" i="1"/>
  <c r="K8" i="1" s="1"/>
  <c r="B38" i="1"/>
  <c r="E38" i="1" s="1"/>
  <c r="B37" i="1"/>
  <c r="B36" i="1"/>
  <c r="F7" i="1"/>
  <c r="K7" i="1" s="1"/>
  <c r="E32" i="1"/>
  <c r="E3" i="1"/>
  <c r="E5" i="1"/>
  <c r="F13" i="1"/>
  <c r="K13" i="1" s="1"/>
  <c r="K5" i="1"/>
  <c r="C39" i="1"/>
  <c r="D39" i="1" s="1"/>
  <c r="K10" i="1"/>
  <c r="F6" i="1"/>
  <c r="F14" i="1"/>
  <c r="F4" i="1"/>
  <c r="G4" i="1" s="1"/>
  <c r="H4" i="1" s="1"/>
  <c r="M12" i="1"/>
  <c r="N12" i="1" s="1"/>
  <c r="C32" i="1"/>
  <c r="D32" i="1" s="1"/>
  <c r="M11" i="1"/>
  <c r="N11" i="1" s="1"/>
  <c r="G10" i="1"/>
  <c r="H10" i="1" s="1"/>
  <c r="I10" i="1"/>
  <c r="G12" i="1"/>
  <c r="H12" i="1" s="1"/>
  <c r="I12" i="1"/>
  <c r="M10" i="1"/>
  <c r="N10" i="1" s="1"/>
  <c r="D15" i="1"/>
  <c r="K9" i="1" l="1"/>
  <c r="G8" i="1"/>
  <c r="H8" i="1" s="1"/>
  <c r="I8" i="1"/>
  <c r="F32" i="1"/>
  <c r="M8" i="1"/>
  <c r="N8" i="1" s="1"/>
  <c r="M7" i="1"/>
  <c r="N7" i="1" s="1"/>
  <c r="I7" i="1"/>
  <c r="M3" i="1"/>
  <c r="N3" i="1" s="1"/>
  <c r="O3" i="1"/>
  <c r="M5" i="1"/>
  <c r="N5" i="1" s="1"/>
  <c r="O5" i="1"/>
  <c r="U32" i="1" s="1"/>
  <c r="I13" i="1"/>
  <c r="M13" i="1"/>
  <c r="N13" i="1" s="1"/>
  <c r="E39" i="1"/>
  <c r="F39" i="1" s="1"/>
  <c r="I6" i="1"/>
  <c r="M6" i="1"/>
  <c r="N6" i="1" s="1"/>
  <c r="K6" i="1"/>
  <c r="M4" i="1"/>
  <c r="K4" i="1"/>
  <c r="C38" i="1"/>
  <c r="D38" i="1" s="1"/>
  <c r="F38" i="1" s="1"/>
  <c r="M14" i="1"/>
  <c r="N14" i="1" s="1"/>
  <c r="K14" i="1"/>
  <c r="I14" i="1"/>
  <c r="I4" i="1"/>
  <c r="J4" i="1" s="1"/>
  <c r="E40" i="1"/>
  <c r="E36" i="1"/>
  <c r="C41" i="1"/>
  <c r="D41" i="1" s="1"/>
  <c r="G31" i="1"/>
  <c r="J31" i="1" s="1"/>
  <c r="K31" i="1" s="1"/>
  <c r="G39" i="1"/>
  <c r="J39" i="1" s="1"/>
  <c r="K39" i="1" s="1"/>
  <c r="C36" i="1"/>
  <c r="D36" i="1" s="1"/>
  <c r="E34" i="1"/>
  <c r="C35" i="1"/>
  <c r="D35" i="1" s="1"/>
  <c r="G40" i="1"/>
  <c r="J40" i="1" s="1"/>
  <c r="K40" i="1" s="1"/>
  <c r="C30" i="1"/>
  <c r="D30" i="1" s="1"/>
  <c r="B42" i="1"/>
  <c r="G13" i="1"/>
  <c r="H13" i="1" s="1"/>
  <c r="G38" i="1"/>
  <c r="J38" i="1" s="1"/>
  <c r="K38" i="1" s="1"/>
  <c r="G36" i="1"/>
  <c r="J36" i="1" s="1"/>
  <c r="K36" i="1" s="1"/>
  <c r="G32" i="1"/>
  <c r="J32" i="1" s="1"/>
  <c r="K32" i="1" s="1"/>
  <c r="G14" i="1"/>
  <c r="H14" i="1" s="1"/>
  <c r="G6" i="1"/>
  <c r="H6" i="1" s="1"/>
  <c r="G7" i="1"/>
  <c r="H7" i="1" s="1"/>
  <c r="G41" i="1"/>
  <c r="G11" i="1"/>
  <c r="H11" i="1" s="1"/>
  <c r="E41" i="1"/>
  <c r="C31" i="1"/>
  <c r="D31" i="1" s="1"/>
  <c r="E31" i="1"/>
  <c r="C34" i="1"/>
  <c r="D34" i="1" s="1"/>
  <c r="E35" i="1"/>
  <c r="C40" i="1"/>
  <c r="D40" i="1" s="1"/>
  <c r="G35" i="1"/>
  <c r="J35" i="1" s="1"/>
  <c r="K35" i="1" s="1"/>
  <c r="I11" i="1"/>
  <c r="G30" i="1"/>
  <c r="J30" i="1" s="1"/>
  <c r="K30" i="1" s="1"/>
  <c r="E30" i="1"/>
  <c r="G34" i="1"/>
  <c r="J34" i="1" s="1"/>
  <c r="K34" i="1" s="1"/>
  <c r="J8" i="1"/>
  <c r="G37" i="1"/>
  <c r="J37" i="1" s="1"/>
  <c r="K37" i="1" s="1"/>
  <c r="C33" i="1"/>
  <c r="D33" i="1" s="1"/>
  <c r="E33" i="1"/>
  <c r="C37" i="1"/>
  <c r="D37" i="1" s="1"/>
  <c r="E37" i="1"/>
  <c r="G9" i="1"/>
  <c r="H9" i="1" s="1"/>
  <c r="I9" i="1"/>
  <c r="G33" i="1"/>
  <c r="J33" i="1" s="1"/>
  <c r="K33" i="1" s="1"/>
  <c r="E15" i="1"/>
  <c r="I5" i="1"/>
  <c r="G5" i="1"/>
  <c r="H5" i="1" s="1"/>
  <c r="F15" i="1"/>
  <c r="I3" i="1"/>
  <c r="G3" i="1"/>
  <c r="J12" i="1"/>
  <c r="J10" i="1"/>
  <c r="J7" i="1" l="1"/>
  <c r="O15" i="1"/>
  <c r="U30" i="1"/>
  <c r="U42" i="1" s="1"/>
  <c r="J6" i="1"/>
  <c r="L6" i="1" s="1"/>
  <c r="J13" i="1"/>
  <c r="L13" i="1" s="1"/>
  <c r="J14" i="1"/>
  <c r="L14" i="1" s="1"/>
  <c r="L4" i="1"/>
  <c r="N4" i="1"/>
  <c r="N15" i="1" s="1"/>
  <c r="M15" i="1"/>
  <c r="J11" i="1"/>
  <c r="L11" i="1" s="1"/>
  <c r="Q34" i="1"/>
  <c r="S34" i="1" s="1"/>
  <c r="T34" i="1" s="1"/>
  <c r="L34" i="1"/>
  <c r="O34" i="1"/>
  <c r="Q30" i="1"/>
  <c r="S30" i="1" s="1"/>
  <c r="T30" i="1" s="1"/>
  <c r="L30" i="1"/>
  <c r="O30" i="1"/>
  <c r="Q36" i="1"/>
  <c r="S36" i="1" s="1"/>
  <c r="T36" i="1" s="1"/>
  <c r="L36" i="1"/>
  <c r="O36" i="1"/>
  <c r="Q39" i="1"/>
  <c r="S39" i="1" s="1"/>
  <c r="T39" i="1" s="1"/>
  <c r="L39" i="1"/>
  <c r="O39" i="1"/>
  <c r="Q38" i="1"/>
  <c r="S38" i="1" s="1"/>
  <c r="T38" i="1" s="1"/>
  <c r="O38" i="1"/>
  <c r="L38" i="1"/>
  <c r="Q31" i="1"/>
  <c r="S31" i="1" s="1"/>
  <c r="T31" i="1" s="1"/>
  <c r="O31" i="1"/>
  <c r="L31" i="1"/>
  <c r="Q32" i="1"/>
  <c r="S32" i="1" s="1"/>
  <c r="T32" i="1" s="1"/>
  <c r="L32" i="1"/>
  <c r="O32" i="1"/>
  <c r="Q37" i="1"/>
  <c r="S37" i="1" s="1"/>
  <c r="T37" i="1" s="1"/>
  <c r="O37" i="1"/>
  <c r="L37" i="1"/>
  <c r="Q33" i="1"/>
  <c r="S33" i="1" s="1"/>
  <c r="T33" i="1" s="1"/>
  <c r="L33" i="1"/>
  <c r="O33" i="1"/>
  <c r="Q35" i="1"/>
  <c r="S35" i="1" s="1"/>
  <c r="T35" i="1" s="1"/>
  <c r="O35" i="1"/>
  <c r="L35" i="1"/>
  <c r="Q40" i="1"/>
  <c r="S40" i="1" s="1"/>
  <c r="T40" i="1" s="1"/>
  <c r="L40" i="1"/>
  <c r="O40" i="1"/>
  <c r="F36" i="1"/>
  <c r="F40" i="1"/>
  <c r="F30" i="1"/>
  <c r="L10" i="1"/>
  <c r="L12" i="1"/>
  <c r="L7" i="1"/>
  <c r="F35" i="1"/>
  <c r="F34" i="1"/>
  <c r="I15" i="1"/>
  <c r="L8" i="1"/>
  <c r="C42" i="1"/>
  <c r="D42" i="1"/>
  <c r="J41" i="1"/>
  <c r="K41" i="1" s="1"/>
  <c r="G42" i="1"/>
  <c r="F41" i="1"/>
  <c r="E42" i="1"/>
  <c r="J5" i="1"/>
  <c r="L5" i="1" s="1"/>
  <c r="F31" i="1"/>
  <c r="F33" i="1"/>
  <c r="J9" i="1"/>
  <c r="L9" i="1" s="1"/>
  <c r="F37" i="1"/>
  <c r="H3" i="1"/>
  <c r="G15" i="1"/>
  <c r="K15" i="1"/>
  <c r="Q41" i="1" l="1"/>
  <c r="Q42" i="1" s="1"/>
  <c r="O41" i="1"/>
  <c r="L41" i="1"/>
  <c r="L42" i="1" s="1"/>
  <c r="M39" i="1"/>
  <c r="N39" i="1" s="1"/>
  <c r="P39" i="1" s="1"/>
  <c r="V39" i="1" s="1"/>
  <c r="M31" i="1"/>
  <c r="N31" i="1" s="1"/>
  <c r="P31" i="1" s="1"/>
  <c r="V31" i="1" s="1"/>
  <c r="M36" i="1"/>
  <c r="N36" i="1" s="1"/>
  <c r="M40" i="1"/>
  <c r="N40" i="1" s="1"/>
  <c r="M38" i="1"/>
  <c r="N38" i="1" s="1"/>
  <c r="M33" i="1"/>
  <c r="N33" i="1" s="1"/>
  <c r="M37" i="1"/>
  <c r="N37" i="1" s="1"/>
  <c r="M30" i="1"/>
  <c r="K42" i="1"/>
  <c r="M32" i="1"/>
  <c r="N32" i="1" s="1"/>
  <c r="M34" i="1"/>
  <c r="N34" i="1" s="1"/>
  <c r="M35" i="1"/>
  <c r="N35" i="1" s="1"/>
  <c r="F42" i="1"/>
  <c r="J3" i="1"/>
  <c r="H15" i="1"/>
  <c r="S41" i="1" l="1"/>
  <c r="T41" i="1" s="1"/>
  <c r="T42" i="1" s="1"/>
  <c r="P32" i="1"/>
  <c r="V32" i="1" s="1"/>
  <c r="P38" i="1"/>
  <c r="V38" i="1" s="1"/>
  <c r="P37" i="1"/>
  <c r="V37" i="1" s="1"/>
  <c r="P40" i="1"/>
  <c r="V40" i="1" s="1"/>
  <c r="P35" i="1"/>
  <c r="V35" i="1" s="1"/>
  <c r="N30" i="1"/>
  <c r="P36" i="1"/>
  <c r="V36" i="1" s="1"/>
  <c r="M41" i="1"/>
  <c r="N41" i="1" s="1"/>
  <c r="P34" i="1"/>
  <c r="V34" i="1" s="1"/>
  <c r="P33" i="1"/>
  <c r="V33" i="1" s="1"/>
  <c r="J15" i="1"/>
  <c r="S15" i="1" s="1"/>
  <c r="L3" i="1"/>
  <c r="L15" i="1" s="1"/>
  <c r="S18" i="1" s="1"/>
  <c r="S42" i="1" l="1"/>
  <c r="P41" i="1"/>
  <c r="V41" i="1" s="1"/>
  <c r="M42" i="1"/>
  <c r="N42" i="1"/>
  <c r="P30" i="1"/>
  <c r="V30" i="1" s="1"/>
  <c r="O42" i="1"/>
  <c r="V42" i="1" l="1"/>
  <c r="P42" i="1"/>
  <c r="S16" i="1" s="1"/>
  <c r="R38" i="1" l="1"/>
  <c r="R33" i="1"/>
  <c r="R39" i="1"/>
  <c r="R30" i="1"/>
  <c r="R37" i="1"/>
  <c r="R32" i="1"/>
  <c r="R36" i="1"/>
  <c r="R34" i="1"/>
  <c r="R31" i="1"/>
  <c r="R35" i="1"/>
  <c r="R40" i="1"/>
  <c r="R41" i="1"/>
  <c r="R42" i="1" l="1"/>
  <c r="S19" i="1" s="1"/>
</calcChain>
</file>

<file path=xl/sharedStrings.xml><?xml version="1.0" encoding="utf-8"?>
<sst xmlns="http://schemas.openxmlformats.org/spreadsheetml/2006/main" count="70" uniqueCount="60">
  <si>
    <t>Hour/Day</t>
  </si>
  <si>
    <t>Jan</t>
  </si>
  <si>
    <t>Feb</t>
  </si>
  <si>
    <t>Mar</t>
  </si>
  <si>
    <t>Apr</t>
  </si>
  <si>
    <t>May</t>
  </si>
  <si>
    <t>June</t>
  </si>
  <si>
    <t>July</t>
  </si>
  <si>
    <t>Aug</t>
  </si>
  <si>
    <t>Sep</t>
  </si>
  <si>
    <t>Oct</t>
  </si>
  <si>
    <t>Nov</t>
  </si>
  <si>
    <t>Dec</t>
  </si>
  <si>
    <t>Monthly</t>
  </si>
  <si>
    <t>Cog</t>
  </si>
  <si>
    <t>Price</t>
  </si>
  <si>
    <t xml:space="preserve">Rate: </t>
  </si>
  <si>
    <t>Price per Kw Euro</t>
  </si>
  <si>
    <t>Price Euro</t>
  </si>
  <si>
    <t>Gas Tg</t>
  </si>
  <si>
    <t>Maintenance Tg</t>
  </si>
  <si>
    <t>Battery</t>
  </si>
  <si>
    <t>Grid</t>
  </si>
  <si>
    <t>Price per kWh tg</t>
  </si>
  <si>
    <t>Full send Cg</t>
  </si>
  <si>
    <t>Gas/MW m3</t>
  </si>
  <si>
    <t>Power produced kWh</t>
  </si>
  <si>
    <t>Gas Consumed m3</t>
  </si>
  <si>
    <t>Gas price Euro</t>
  </si>
  <si>
    <t>Maint Euro</t>
  </si>
  <si>
    <t>Total Costs E</t>
  </si>
  <si>
    <t>Profit</t>
  </si>
  <si>
    <t>Left for Batt</t>
  </si>
  <si>
    <t>Capacity kWh</t>
  </si>
  <si>
    <t>Price per kWh Euro</t>
  </si>
  <si>
    <t>Need &gt; Contr?</t>
  </si>
  <si>
    <t>Hours left for Charging Daily</t>
  </si>
  <si>
    <t>kWh Available Theor</t>
  </si>
  <si>
    <t>Batt Contr Real</t>
  </si>
  <si>
    <t>Cg Hours Add</t>
  </si>
  <si>
    <t>Add Gas m3</t>
  </si>
  <si>
    <t>Add Gas Euro</t>
  </si>
  <si>
    <t>Add Maintenance</t>
  </si>
  <si>
    <t>COSTS</t>
  </si>
  <si>
    <t>Investment =</t>
  </si>
  <si>
    <t>Grid replaced</t>
  </si>
  <si>
    <t>Grid payments</t>
  </si>
  <si>
    <t>Grid kWh</t>
  </si>
  <si>
    <t>Cost of replaced Grid</t>
  </si>
  <si>
    <t>Max Power</t>
  </si>
  <si>
    <t xml:space="preserve">Battery </t>
  </si>
  <si>
    <t>PBP CG only</t>
  </si>
  <si>
    <t>PBP Battery</t>
  </si>
  <si>
    <t>CG only</t>
  </si>
  <si>
    <t>Cost of kWh CG</t>
  </si>
  <si>
    <t>Cost of KkWh Batt</t>
  </si>
  <si>
    <t>Grid Payments Original</t>
  </si>
  <si>
    <t>New Payments</t>
  </si>
  <si>
    <t>Power kW</t>
  </si>
  <si>
    <t>Consumption kWh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</si>
</sst>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5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u val="singleAccounting"/>
      <sz val="12"/>
      <color theme="1"/>
      <name val="Aptos Narrow"/>
      <family val="2"/>
      <scheme val="minor"/>
    </font>
    <font>
      <sz val="12"/>
      <color rgb="FFFF0000"/>
      <name val="Aptos Narrow"/>
      <family val="2"/>
      <scheme val="minor"/>
    </font>
    <font>
      <b/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ck">
        <color auto="1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39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164" fontId="0" fillId="0" borderId="0" xfId="1" applyNumberFormat="1" applyFont="1"/>
    <xf numFmtId="164" fontId="0" fillId="0" borderId="0" xfId="0" applyNumberFormat="1"/>
    <xf numFmtId="0" fontId="0" fillId="0" borderId="2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164" fontId="0" fillId="0" borderId="4" xfId="1" applyNumberFormat="1" applyFont="1" applyBorder="1"/>
    <xf numFmtId="164" fontId="0" fillId="0" borderId="4" xfId="0" applyNumberFormat="1" applyBorder="1"/>
    <xf numFmtId="164" fontId="0" fillId="0" borderId="8" xfId="0" applyNumberFormat="1" applyBorder="1"/>
    <xf numFmtId="164" fontId="2" fillId="0" borderId="4" xfId="1" applyNumberFormat="1" applyFont="1" applyBorder="1"/>
    <xf numFmtId="164" fontId="2" fillId="0" borderId="4" xfId="0" applyNumberFormat="1" applyFont="1" applyBorder="1"/>
    <xf numFmtId="164" fontId="2" fillId="0" borderId="8" xfId="0" applyNumberFormat="1" applyFont="1" applyBorder="1"/>
    <xf numFmtId="164" fontId="0" fillId="0" borderId="6" xfId="1" applyNumberFormat="1" applyFont="1" applyBorder="1"/>
    <xf numFmtId="164" fontId="0" fillId="0" borderId="9" xfId="1" applyNumberFormat="1" applyFont="1" applyBorder="1"/>
    <xf numFmtId="164" fontId="0" fillId="0" borderId="9" xfId="0" applyNumberFormat="1" applyBorder="1"/>
    <xf numFmtId="0" fontId="0" fillId="0" borderId="7" xfId="0" applyBorder="1"/>
    <xf numFmtId="0" fontId="3" fillId="0" borderId="9" xfId="0" applyFont="1" applyBorder="1"/>
    <xf numFmtId="0" fontId="4" fillId="0" borderId="2" xfId="0" applyFont="1" applyBorder="1"/>
    <xf numFmtId="0" fontId="0" fillId="0" borderId="8" xfId="0" applyBorder="1"/>
    <xf numFmtId="164" fontId="3" fillId="0" borderId="5" xfId="1" applyNumberFormat="1" applyFont="1" applyBorder="1"/>
    <xf numFmtId="0" fontId="4" fillId="0" borderId="7" xfId="0" applyFont="1" applyBorder="1"/>
    <xf numFmtId="0" fontId="3" fillId="0" borderId="5" xfId="0" applyFont="1" applyBorder="1"/>
    <xf numFmtId="0" fontId="0" fillId="0" borderId="9" xfId="0" applyBorder="1"/>
    <xf numFmtId="2" fontId="0" fillId="0" borderId="7" xfId="0" applyNumberFormat="1" applyBorder="1"/>
    <xf numFmtId="43" fontId="0" fillId="0" borderId="9" xfId="1" applyFont="1" applyBorder="1"/>
    <xf numFmtId="164" fontId="0" fillId="0" borderId="2" xfId="1" applyNumberFormat="1" applyFont="1" applyBorder="1"/>
    <xf numFmtId="164" fontId="0" fillId="0" borderId="7" xfId="1" applyNumberFormat="1" applyFont="1" applyBorder="1"/>
    <xf numFmtId="0" fontId="0" fillId="0" borderId="1" xfId="0" applyBorder="1" applyAlignment="1">
      <alignment horizontal="center" vertical="center" wrapText="1"/>
    </xf>
    <xf numFmtId="0" fontId="0" fillId="0" borderId="2" xfId="0" applyBorder="1" applyAlignment="1">
      <alignment horizontal="center" vertical="top" wrapText="1"/>
    </xf>
    <xf numFmtId="164" fontId="0" fillId="0" borderId="3" xfId="1" applyNumberFormat="1" applyFont="1" applyBorder="1"/>
    <xf numFmtId="0" fontId="0" fillId="0" borderId="4" xfId="0" applyBorder="1" applyAlignment="1">
      <alignment horizontal="center"/>
    </xf>
    <xf numFmtId="164" fontId="2" fillId="0" borderId="4" xfId="1" applyNumberFormat="1" applyFont="1" applyBorder="1" applyAlignment="1">
      <alignment horizontal="center"/>
    </xf>
    <xf numFmtId="164" fontId="0" fillId="0" borderId="5" xfId="1" applyNumberFormat="1" applyFont="1" applyBorder="1"/>
    <xf numFmtId="164" fontId="3" fillId="0" borderId="6" xfId="1" applyNumberFormat="1" applyFont="1" applyBorder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E5050C-F5A5-D544-99DE-7A94D6AACCEE}">
  <dimension ref="A1:W44"/>
  <sheetViews>
    <sheetView tabSelected="1" zoomScale="101" workbookViewId="0">
      <selection activeCell="S6" sqref="S6"/>
    </sheetView>
  </sheetViews>
  <sheetFormatPr baseColWidth="10" defaultRowHeight="16" x14ac:dyDescent="0.2"/>
  <cols>
    <col min="1" max="1" width="15.5" customWidth="1"/>
    <col min="2" max="2" width="12" bestFit="1" customWidth="1"/>
    <col min="3" max="3" width="11.1640625" bestFit="1" customWidth="1"/>
    <col min="4" max="4" width="12.5" style="7" customWidth="1"/>
    <col min="5" max="5" width="14.1640625" style="7" bestFit="1" customWidth="1"/>
    <col min="6" max="6" width="18.5" bestFit="1" customWidth="1"/>
    <col min="7" max="7" width="16.6640625" bestFit="1" customWidth="1"/>
    <col min="8" max="8" width="13.1640625" bestFit="1" customWidth="1"/>
    <col min="9" max="9" width="11.1640625" bestFit="1" customWidth="1"/>
    <col min="10" max="10" width="11.83203125" bestFit="1" customWidth="1"/>
    <col min="11" max="11" width="12" bestFit="1" customWidth="1"/>
    <col min="12" max="12" width="11.1640625" bestFit="1" customWidth="1"/>
    <col min="13" max="13" width="12" bestFit="1" customWidth="1"/>
    <col min="14" max="14" width="16" customWidth="1"/>
    <col min="15" max="15" width="16.6640625" bestFit="1" customWidth="1"/>
    <col min="16" max="16" width="13.1640625" bestFit="1" customWidth="1"/>
    <col min="17" max="17" width="11.5" bestFit="1" customWidth="1"/>
    <col min="18" max="18" width="12" bestFit="1" customWidth="1"/>
    <col min="19" max="19" width="11.83203125" bestFit="1" customWidth="1"/>
    <col min="20" max="20" width="14.83203125" customWidth="1"/>
    <col min="21" max="21" width="11.1640625" bestFit="1" customWidth="1"/>
    <col min="22" max="22" width="15.33203125" bestFit="1" customWidth="1"/>
    <col min="23" max="23" width="13.1640625" bestFit="1" customWidth="1"/>
    <col min="26" max="26" width="12.5" bestFit="1" customWidth="1"/>
    <col min="29" max="30" width="11.5" bestFit="1" customWidth="1"/>
    <col min="32" max="32" width="15.1640625" bestFit="1" customWidth="1"/>
  </cols>
  <sheetData>
    <row r="1" spans="1:23" ht="18" thickTop="1" thickBot="1" x14ac:dyDescent="0.25">
      <c r="H1" t="s">
        <v>24</v>
      </c>
      <c r="R1" s="1" t="s">
        <v>16</v>
      </c>
      <c r="S1" s="20">
        <v>650</v>
      </c>
    </row>
    <row r="2" spans="1:23" ht="53" thickTop="1" thickBot="1" x14ac:dyDescent="0.25">
      <c r="A2" s="1"/>
      <c r="B2" s="2"/>
      <c r="C2" s="2" t="s">
        <v>0</v>
      </c>
      <c r="D2" s="9" t="s">
        <v>13</v>
      </c>
      <c r="E2" s="9" t="s">
        <v>59</v>
      </c>
      <c r="F2" s="9" t="s">
        <v>26</v>
      </c>
      <c r="G2" s="9" t="s">
        <v>27</v>
      </c>
      <c r="H2" s="9" t="s">
        <v>28</v>
      </c>
      <c r="I2" s="9" t="s">
        <v>29</v>
      </c>
      <c r="J2" s="9" t="s">
        <v>30</v>
      </c>
      <c r="K2" s="9" t="s">
        <v>48</v>
      </c>
      <c r="L2" s="9" t="s">
        <v>31</v>
      </c>
      <c r="M2" s="9" t="s">
        <v>47</v>
      </c>
      <c r="N2" s="9" t="s">
        <v>46</v>
      </c>
      <c r="O2" s="10" t="s">
        <v>56</v>
      </c>
      <c r="R2" s="5" t="s">
        <v>49</v>
      </c>
      <c r="S2" s="21">
        <v>12000</v>
      </c>
      <c r="W2" s="7"/>
    </row>
    <row r="3" spans="1:23" ht="17" thickTop="1" x14ac:dyDescent="0.2">
      <c r="A3" s="3">
        <v>31</v>
      </c>
      <c r="B3" s="4" t="s">
        <v>1</v>
      </c>
      <c r="C3" s="4">
        <v>15</v>
      </c>
      <c r="D3" s="11">
        <f>C3*A3</f>
        <v>465</v>
      </c>
      <c r="E3" s="11">
        <f t="shared" ref="E3:E14" si="0">D3*$S$2</f>
        <v>5580000</v>
      </c>
      <c r="F3" s="12">
        <f t="shared" ref="F3:F14" si="1">D3*$R$5</f>
        <v>2557500</v>
      </c>
      <c r="G3" s="11">
        <f t="shared" ref="G3:G14" si="2">F3*$W$5/1000</f>
        <v>639375</v>
      </c>
      <c r="H3" s="11">
        <f t="shared" ref="H3:H14" si="3">G3*$U$5/$S$1</f>
        <v>39346.153846153844</v>
      </c>
      <c r="I3" s="11">
        <f t="shared" ref="I3:I14" si="4">F3*$V$5/$S$1</f>
        <v>23607.692307692309</v>
      </c>
      <c r="J3" s="12">
        <f>H3+I3</f>
        <v>62953.846153846156</v>
      </c>
      <c r="K3" s="12">
        <f t="shared" ref="K3:K14" si="5">F3*$R$13/$S$1</f>
        <v>137711.53846153847</v>
      </c>
      <c r="L3" s="12">
        <f t="shared" ref="L3:L14" si="6">K3-J3</f>
        <v>74757.692307692312</v>
      </c>
      <c r="M3" s="12">
        <f>E3-F3</f>
        <v>3022500</v>
      </c>
      <c r="N3" s="12">
        <f t="shared" ref="N3:N14" si="7">M3*$R$13/$S$1</f>
        <v>162750</v>
      </c>
      <c r="O3" s="13">
        <f>E3*$R$13/$S$1</f>
        <v>300461.53846153844</v>
      </c>
      <c r="R3" s="1"/>
      <c r="S3" s="2" t="s">
        <v>14</v>
      </c>
      <c r="T3" s="2"/>
      <c r="U3" s="9"/>
      <c r="V3" s="9"/>
      <c r="W3" s="10"/>
    </row>
    <row r="4" spans="1:23" x14ac:dyDescent="0.2">
      <c r="A4" s="3">
        <v>28</v>
      </c>
      <c r="B4" s="4" t="s">
        <v>2</v>
      </c>
      <c r="C4" s="4">
        <v>13</v>
      </c>
      <c r="D4" s="11">
        <f t="shared" ref="D4:D14" si="8">C4*A4</f>
        <v>364</v>
      </c>
      <c r="E4" s="11">
        <f t="shared" si="0"/>
        <v>4368000</v>
      </c>
      <c r="F4" s="12">
        <f t="shared" si="1"/>
        <v>2002000</v>
      </c>
      <c r="G4" s="11">
        <f t="shared" si="2"/>
        <v>500500</v>
      </c>
      <c r="H4" s="11">
        <f t="shared" si="3"/>
        <v>30800</v>
      </c>
      <c r="I4" s="11">
        <f t="shared" si="4"/>
        <v>18480</v>
      </c>
      <c r="J4" s="12">
        <f t="shared" ref="J4:J14" si="9">H4+I4</f>
        <v>49280</v>
      </c>
      <c r="K4" s="12">
        <f t="shared" si="5"/>
        <v>107800</v>
      </c>
      <c r="L4" s="12">
        <f t="shared" si="6"/>
        <v>58520</v>
      </c>
      <c r="M4" s="12">
        <f t="shared" ref="M4:M14" si="10">E4-F4</f>
        <v>2366000</v>
      </c>
      <c r="N4" s="12">
        <f t="shared" si="7"/>
        <v>127400</v>
      </c>
      <c r="O4" s="13">
        <f t="shared" ref="O4:O14" si="11">E4*$R$13/$S$1</f>
        <v>235200</v>
      </c>
      <c r="R4" s="3" t="s">
        <v>58</v>
      </c>
      <c r="S4" s="4" t="s">
        <v>17</v>
      </c>
      <c r="T4" s="4" t="s">
        <v>18</v>
      </c>
      <c r="U4" s="11" t="s">
        <v>19</v>
      </c>
      <c r="V4" s="11" t="s">
        <v>20</v>
      </c>
      <c r="W4" s="13" t="s">
        <v>25</v>
      </c>
    </row>
    <row r="5" spans="1:23" ht="17" thickBot="1" x14ac:dyDescent="0.25">
      <c r="A5" s="3">
        <v>31</v>
      </c>
      <c r="B5" s="4" t="s">
        <v>3</v>
      </c>
      <c r="C5" s="4">
        <v>12</v>
      </c>
      <c r="D5" s="11">
        <f t="shared" si="8"/>
        <v>372</v>
      </c>
      <c r="E5" s="11">
        <f t="shared" si="0"/>
        <v>4464000</v>
      </c>
      <c r="F5" s="12">
        <f t="shared" si="1"/>
        <v>2046000</v>
      </c>
      <c r="G5" s="11">
        <f t="shared" si="2"/>
        <v>511500</v>
      </c>
      <c r="H5" s="11">
        <f t="shared" si="3"/>
        <v>31476.923076923078</v>
      </c>
      <c r="I5" s="11">
        <f t="shared" si="4"/>
        <v>18886.153846153848</v>
      </c>
      <c r="J5" s="12">
        <f t="shared" si="9"/>
        <v>50363.076923076922</v>
      </c>
      <c r="K5" s="12">
        <f t="shared" si="5"/>
        <v>110169.23076923077</v>
      </c>
      <c r="L5" s="12">
        <f t="shared" si="6"/>
        <v>59806.153846153844</v>
      </c>
      <c r="M5" s="12">
        <f t="shared" si="10"/>
        <v>2418000</v>
      </c>
      <c r="N5" s="12">
        <f t="shared" si="7"/>
        <v>130200</v>
      </c>
      <c r="O5" s="13">
        <f t="shared" si="11"/>
        <v>240369.23076923078</v>
      </c>
      <c r="R5" s="24">
        <v>5500</v>
      </c>
      <c r="S5" s="6">
        <v>800</v>
      </c>
      <c r="T5" s="17">
        <f>S5*R5</f>
        <v>4400000</v>
      </c>
      <c r="U5" s="38">
        <v>40</v>
      </c>
      <c r="V5" s="17">
        <v>6</v>
      </c>
      <c r="W5" s="19">
        <v>250</v>
      </c>
    </row>
    <row r="6" spans="1:23" ht="18" thickTop="1" thickBot="1" x14ac:dyDescent="0.25">
      <c r="A6" s="3">
        <v>30</v>
      </c>
      <c r="B6" s="4" t="s">
        <v>4</v>
      </c>
      <c r="C6" s="4">
        <v>2</v>
      </c>
      <c r="D6" s="11">
        <f t="shared" si="8"/>
        <v>60</v>
      </c>
      <c r="E6" s="11">
        <f t="shared" si="0"/>
        <v>720000</v>
      </c>
      <c r="F6" s="12">
        <f t="shared" si="1"/>
        <v>330000</v>
      </c>
      <c r="G6" s="11">
        <f t="shared" si="2"/>
        <v>82500</v>
      </c>
      <c r="H6" s="11">
        <f t="shared" si="3"/>
        <v>5076.9230769230771</v>
      </c>
      <c r="I6" s="11">
        <f t="shared" si="4"/>
        <v>3046.1538461538462</v>
      </c>
      <c r="J6" s="12">
        <f t="shared" si="9"/>
        <v>8123.0769230769238</v>
      </c>
      <c r="K6" s="12">
        <f t="shared" si="5"/>
        <v>17769.23076923077</v>
      </c>
      <c r="L6" s="12">
        <f t="shared" si="6"/>
        <v>9646.1538461538457</v>
      </c>
      <c r="M6" s="12">
        <f t="shared" si="10"/>
        <v>390000</v>
      </c>
      <c r="N6" s="12">
        <f t="shared" si="7"/>
        <v>21000</v>
      </c>
      <c r="O6" s="13">
        <f t="shared" si="11"/>
        <v>38769.230769230766</v>
      </c>
    </row>
    <row r="7" spans="1:23" ht="17" thickTop="1" x14ac:dyDescent="0.2">
      <c r="A7" s="3">
        <v>31</v>
      </c>
      <c r="B7" s="4" t="s">
        <v>5</v>
      </c>
      <c r="C7" s="4"/>
      <c r="D7" s="11">
        <f t="shared" si="8"/>
        <v>0</v>
      </c>
      <c r="E7" s="11">
        <f t="shared" si="0"/>
        <v>0</v>
      </c>
      <c r="F7" s="12">
        <f t="shared" si="1"/>
        <v>0</v>
      </c>
      <c r="G7" s="11">
        <f t="shared" si="2"/>
        <v>0</v>
      </c>
      <c r="H7" s="11">
        <f t="shared" si="3"/>
        <v>0</v>
      </c>
      <c r="I7" s="11">
        <f t="shared" si="4"/>
        <v>0</v>
      </c>
      <c r="J7" s="12">
        <f t="shared" si="9"/>
        <v>0</v>
      </c>
      <c r="K7" s="12">
        <f t="shared" si="5"/>
        <v>0</v>
      </c>
      <c r="L7" s="12">
        <f t="shared" si="6"/>
        <v>0</v>
      </c>
      <c r="M7" s="12">
        <f t="shared" si="10"/>
        <v>0</v>
      </c>
      <c r="N7" s="12">
        <f t="shared" si="7"/>
        <v>0</v>
      </c>
      <c r="O7" s="13">
        <f t="shared" si="11"/>
        <v>0</v>
      </c>
      <c r="R7" s="1"/>
      <c r="S7" s="22" t="s">
        <v>21</v>
      </c>
      <c r="T7" s="2"/>
      <c r="U7" s="20"/>
    </row>
    <row r="8" spans="1:23" x14ac:dyDescent="0.2">
      <c r="A8" s="3">
        <v>30</v>
      </c>
      <c r="B8" s="4" t="s">
        <v>6</v>
      </c>
      <c r="C8" s="4"/>
      <c r="D8" s="11">
        <f t="shared" si="8"/>
        <v>0</v>
      </c>
      <c r="E8" s="11">
        <f t="shared" si="0"/>
        <v>0</v>
      </c>
      <c r="F8" s="12">
        <f t="shared" si="1"/>
        <v>0</v>
      </c>
      <c r="G8" s="11">
        <f t="shared" si="2"/>
        <v>0</v>
      </c>
      <c r="H8" s="11">
        <f t="shared" si="3"/>
        <v>0</v>
      </c>
      <c r="I8" s="11">
        <f t="shared" si="4"/>
        <v>0</v>
      </c>
      <c r="J8" s="12">
        <f t="shared" si="9"/>
        <v>0</v>
      </c>
      <c r="K8" s="12">
        <f t="shared" si="5"/>
        <v>0</v>
      </c>
      <c r="L8" s="12">
        <f t="shared" si="6"/>
        <v>0</v>
      </c>
      <c r="M8" s="12">
        <f t="shared" si="10"/>
        <v>0</v>
      </c>
      <c r="N8" s="12">
        <f t="shared" si="7"/>
        <v>0</v>
      </c>
      <c r="O8" s="13">
        <f t="shared" si="11"/>
        <v>0</v>
      </c>
      <c r="R8" s="3" t="s">
        <v>33</v>
      </c>
      <c r="S8" s="4" t="s">
        <v>34</v>
      </c>
      <c r="T8" s="4"/>
      <c r="U8" s="23" t="s">
        <v>15</v>
      </c>
    </row>
    <row r="9" spans="1:23" ht="17" thickBot="1" x14ac:dyDescent="0.25">
      <c r="A9" s="3">
        <v>31</v>
      </c>
      <c r="B9" s="4" t="s">
        <v>7</v>
      </c>
      <c r="C9" s="4"/>
      <c r="D9" s="11">
        <f t="shared" si="8"/>
        <v>0</v>
      </c>
      <c r="E9" s="11">
        <f t="shared" si="0"/>
        <v>0</v>
      </c>
      <c r="F9" s="12">
        <f t="shared" si="1"/>
        <v>0</v>
      </c>
      <c r="G9" s="11">
        <f t="shared" si="2"/>
        <v>0</v>
      </c>
      <c r="H9" s="11">
        <f t="shared" si="3"/>
        <v>0</v>
      </c>
      <c r="I9" s="11">
        <f t="shared" si="4"/>
        <v>0</v>
      </c>
      <c r="J9" s="12">
        <f t="shared" si="9"/>
        <v>0</v>
      </c>
      <c r="K9" s="12">
        <f t="shared" si="5"/>
        <v>0</v>
      </c>
      <c r="L9" s="12">
        <f t="shared" si="6"/>
        <v>0</v>
      </c>
      <c r="M9" s="12">
        <f t="shared" si="10"/>
        <v>0</v>
      </c>
      <c r="N9" s="12">
        <f t="shared" si="7"/>
        <v>0</v>
      </c>
      <c r="O9" s="13">
        <f t="shared" si="11"/>
        <v>0</v>
      </c>
      <c r="R9" s="24">
        <v>5500</v>
      </c>
      <c r="S9" s="6">
        <v>130</v>
      </c>
      <c r="T9" s="6"/>
      <c r="U9" s="19">
        <f>R9*S9</f>
        <v>715000</v>
      </c>
    </row>
    <row r="10" spans="1:23" ht="18" thickTop="1" thickBot="1" x14ac:dyDescent="0.25">
      <c r="A10" s="3">
        <v>31</v>
      </c>
      <c r="B10" s="4" t="s">
        <v>8</v>
      </c>
      <c r="C10" s="4"/>
      <c r="D10" s="11">
        <f t="shared" si="8"/>
        <v>0</v>
      </c>
      <c r="E10" s="11">
        <f t="shared" si="0"/>
        <v>0</v>
      </c>
      <c r="F10" s="12">
        <f t="shared" si="1"/>
        <v>0</v>
      </c>
      <c r="G10" s="11">
        <f t="shared" si="2"/>
        <v>0</v>
      </c>
      <c r="H10" s="11">
        <f t="shared" si="3"/>
        <v>0</v>
      </c>
      <c r="I10" s="11">
        <f t="shared" si="4"/>
        <v>0</v>
      </c>
      <c r="J10" s="12">
        <f t="shared" si="9"/>
        <v>0</v>
      </c>
      <c r="K10" s="12">
        <f t="shared" si="5"/>
        <v>0</v>
      </c>
      <c r="L10" s="12">
        <f t="shared" si="6"/>
        <v>0</v>
      </c>
      <c r="M10" s="12">
        <f t="shared" si="10"/>
        <v>0</v>
      </c>
      <c r="N10" s="12">
        <f t="shared" si="7"/>
        <v>0</v>
      </c>
      <c r="O10" s="13">
        <f t="shared" si="11"/>
        <v>0</v>
      </c>
      <c r="S10" s="7"/>
      <c r="U10" s="7"/>
      <c r="V10" s="7"/>
    </row>
    <row r="11" spans="1:23" ht="17" thickTop="1" x14ac:dyDescent="0.2">
      <c r="A11" s="3">
        <v>30</v>
      </c>
      <c r="B11" s="4" t="s">
        <v>9</v>
      </c>
      <c r="C11" s="4"/>
      <c r="D11" s="11">
        <f t="shared" si="8"/>
        <v>0</v>
      </c>
      <c r="E11" s="11">
        <f t="shared" si="0"/>
        <v>0</v>
      </c>
      <c r="F11" s="12">
        <f t="shared" si="1"/>
        <v>0</v>
      </c>
      <c r="G11" s="11">
        <f t="shared" si="2"/>
        <v>0</v>
      </c>
      <c r="H11" s="11">
        <f t="shared" si="3"/>
        <v>0</v>
      </c>
      <c r="I11" s="11">
        <f t="shared" si="4"/>
        <v>0</v>
      </c>
      <c r="J11" s="12">
        <f t="shared" si="9"/>
        <v>0</v>
      </c>
      <c r="K11" s="12">
        <f t="shared" si="5"/>
        <v>0</v>
      </c>
      <c r="L11" s="12">
        <f t="shared" si="6"/>
        <v>0</v>
      </c>
      <c r="M11" s="12">
        <f t="shared" si="10"/>
        <v>0</v>
      </c>
      <c r="N11" s="12">
        <f t="shared" si="7"/>
        <v>0</v>
      </c>
      <c r="O11" s="13">
        <f t="shared" si="11"/>
        <v>0</v>
      </c>
      <c r="R11" s="1"/>
      <c r="S11" s="25" t="s">
        <v>22</v>
      </c>
      <c r="V11" s="7"/>
    </row>
    <row r="12" spans="1:23" x14ac:dyDescent="0.2">
      <c r="A12" s="3">
        <v>31</v>
      </c>
      <c r="B12" s="4" t="s">
        <v>10</v>
      </c>
      <c r="C12" s="4">
        <v>3</v>
      </c>
      <c r="D12" s="11">
        <f t="shared" si="8"/>
        <v>93</v>
      </c>
      <c r="E12" s="11">
        <f t="shared" si="0"/>
        <v>1116000</v>
      </c>
      <c r="F12" s="12">
        <f t="shared" si="1"/>
        <v>511500</v>
      </c>
      <c r="G12" s="11">
        <f t="shared" si="2"/>
        <v>127875</v>
      </c>
      <c r="H12" s="11">
        <f t="shared" si="3"/>
        <v>7869.2307692307695</v>
      </c>
      <c r="I12" s="11">
        <f t="shared" si="4"/>
        <v>4721.5384615384619</v>
      </c>
      <c r="J12" s="12">
        <f t="shared" si="9"/>
        <v>12590.76923076923</v>
      </c>
      <c r="K12" s="12">
        <f t="shared" si="5"/>
        <v>27542.307692307691</v>
      </c>
      <c r="L12" s="12">
        <f t="shared" si="6"/>
        <v>14951.538461538461</v>
      </c>
      <c r="M12" s="12">
        <f t="shared" si="10"/>
        <v>604500</v>
      </c>
      <c r="N12" s="12">
        <f t="shared" si="7"/>
        <v>32550</v>
      </c>
      <c r="O12" s="13">
        <f t="shared" si="11"/>
        <v>60092.307692307695</v>
      </c>
      <c r="R12" s="3" t="s">
        <v>23</v>
      </c>
      <c r="S12" s="23"/>
    </row>
    <row r="13" spans="1:23" ht="17" thickBot="1" x14ac:dyDescent="0.25">
      <c r="A13" s="3">
        <v>30</v>
      </c>
      <c r="B13" s="4" t="s">
        <v>11</v>
      </c>
      <c r="C13" s="4">
        <v>13</v>
      </c>
      <c r="D13" s="11">
        <f t="shared" si="8"/>
        <v>390</v>
      </c>
      <c r="E13" s="11">
        <f t="shared" si="0"/>
        <v>4680000</v>
      </c>
      <c r="F13" s="12">
        <f t="shared" si="1"/>
        <v>2145000</v>
      </c>
      <c r="G13" s="11">
        <f t="shared" si="2"/>
        <v>536250</v>
      </c>
      <c r="H13" s="11">
        <f t="shared" si="3"/>
        <v>33000</v>
      </c>
      <c r="I13" s="11">
        <f t="shared" si="4"/>
        <v>19800</v>
      </c>
      <c r="J13" s="12">
        <f t="shared" si="9"/>
        <v>52800</v>
      </c>
      <c r="K13" s="12">
        <f t="shared" si="5"/>
        <v>115500</v>
      </c>
      <c r="L13" s="12">
        <f t="shared" si="6"/>
        <v>62700</v>
      </c>
      <c r="M13" s="12">
        <f t="shared" si="10"/>
        <v>2535000</v>
      </c>
      <c r="N13" s="12">
        <f t="shared" si="7"/>
        <v>136500</v>
      </c>
      <c r="O13" s="13">
        <f t="shared" si="11"/>
        <v>252000</v>
      </c>
      <c r="R13" s="26">
        <v>35</v>
      </c>
      <c r="S13" s="27"/>
    </row>
    <row r="14" spans="1:23" ht="21" thickTop="1" thickBot="1" x14ac:dyDescent="0.4">
      <c r="A14" s="3">
        <v>31</v>
      </c>
      <c r="B14" s="4" t="s">
        <v>12</v>
      </c>
      <c r="C14" s="4">
        <v>17</v>
      </c>
      <c r="D14" s="14">
        <f t="shared" si="8"/>
        <v>527</v>
      </c>
      <c r="E14" s="11">
        <f t="shared" si="0"/>
        <v>6324000</v>
      </c>
      <c r="F14" s="12">
        <f t="shared" si="1"/>
        <v>2898500</v>
      </c>
      <c r="G14" s="14">
        <f t="shared" si="2"/>
        <v>724625</v>
      </c>
      <c r="H14" s="14">
        <f t="shared" si="3"/>
        <v>44592.307692307695</v>
      </c>
      <c r="I14" s="14">
        <f t="shared" si="4"/>
        <v>26755.384615384617</v>
      </c>
      <c r="J14" s="14">
        <f t="shared" si="9"/>
        <v>71347.692307692312</v>
      </c>
      <c r="K14" s="15">
        <f t="shared" si="5"/>
        <v>156073.07692307694</v>
      </c>
      <c r="L14" s="14">
        <f t="shared" si="6"/>
        <v>84725.384615384624</v>
      </c>
      <c r="M14" s="15">
        <f t="shared" si="10"/>
        <v>3425500</v>
      </c>
      <c r="N14" s="15">
        <f t="shared" si="7"/>
        <v>184450</v>
      </c>
      <c r="O14" s="16">
        <f t="shared" si="11"/>
        <v>340523.07692307694</v>
      </c>
    </row>
    <row r="15" spans="1:23" ht="18" thickTop="1" thickBot="1" x14ac:dyDescent="0.25">
      <c r="A15" s="5"/>
      <c r="B15" s="6"/>
      <c r="C15" s="6"/>
      <c r="D15" s="17">
        <f>SUM(D3:D14)</f>
        <v>2271</v>
      </c>
      <c r="E15" s="17">
        <f>SUM(E3:E14)</f>
        <v>27252000</v>
      </c>
      <c r="F15" s="17">
        <f t="shared" ref="F15:I15" si="12">SUM(F3:F14)</f>
        <v>12490500</v>
      </c>
      <c r="G15" s="17">
        <f t="shared" si="12"/>
        <v>3122625</v>
      </c>
      <c r="H15" s="17">
        <f t="shared" si="12"/>
        <v>192161.53846153844</v>
      </c>
      <c r="I15" s="17">
        <f t="shared" si="12"/>
        <v>115296.92307692309</v>
      </c>
      <c r="J15" s="17">
        <f t="shared" ref="J15" si="13">SUM(J3:J14)</f>
        <v>307458.4615384615</v>
      </c>
      <c r="K15" s="17">
        <f t="shared" ref="K15" si="14">SUM(K3:K14)</f>
        <v>672565.38461538462</v>
      </c>
      <c r="L15" s="17">
        <f>SUM(L3:L14)</f>
        <v>365106.92307692312</v>
      </c>
      <c r="M15" s="17">
        <f t="shared" ref="M15:O15" si="15">SUM(M3:M14)</f>
        <v>14761500</v>
      </c>
      <c r="N15" s="17">
        <f t="shared" si="15"/>
        <v>794850</v>
      </c>
      <c r="O15" s="18">
        <f t="shared" si="15"/>
        <v>1467415.3846153847</v>
      </c>
      <c r="R15" s="1" t="s">
        <v>54</v>
      </c>
      <c r="S15" s="28">
        <f>J15/F15*$S$1</f>
        <v>15.999999999999998</v>
      </c>
      <c r="U15" s="7"/>
      <c r="V15" s="7"/>
      <c r="W15" s="7"/>
    </row>
    <row r="16" spans="1:23" ht="18" thickTop="1" thickBot="1" x14ac:dyDescent="0.25">
      <c r="F16" s="7"/>
      <c r="G16" s="7"/>
      <c r="H16" s="7"/>
      <c r="I16" s="7"/>
      <c r="J16" s="7"/>
      <c r="K16" s="7"/>
      <c r="L16" s="7"/>
      <c r="R16" s="5" t="s">
        <v>55</v>
      </c>
      <c r="S16" s="29">
        <f>P42/(K42+B42)*S1</f>
        <v>16.000000000000004</v>
      </c>
      <c r="U16" s="7"/>
      <c r="V16" s="7"/>
      <c r="W16" s="7"/>
    </row>
    <row r="17" spans="2:23" ht="18" thickTop="1" thickBot="1" x14ac:dyDescent="0.25">
      <c r="G17" s="7"/>
      <c r="H17" s="7"/>
      <c r="I17" s="7"/>
      <c r="J17" s="7"/>
      <c r="K17" s="7"/>
      <c r="L17" s="7"/>
      <c r="U17" s="7"/>
      <c r="V17" s="7"/>
      <c r="W17" s="7"/>
    </row>
    <row r="18" spans="2:23" ht="17" thickTop="1" x14ac:dyDescent="0.2">
      <c r="G18" s="7"/>
      <c r="H18" s="7"/>
      <c r="I18" s="7"/>
      <c r="J18" s="7"/>
      <c r="K18" s="7"/>
      <c r="L18" s="7"/>
      <c r="R18" s="1" t="s">
        <v>51</v>
      </c>
      <c r="S18" s="28">
        <f>U22/L15</f>
        <v>12.05126422396811</v>
      </c>
      <c r="U18" s="7"/>
      <c r="V18" s="7"/>
    </row>
    <row r="19" spans="2:23" ht="17" thickBot="1" x14ac:dyDescent="0.25">
      <c r="G19" s="7"/>
      <c r="H19" s="7"/>
      <c r="I19" s="7"/>
      <c r="J19" s="7"/>
      <c r="K19" s="7"/>
      <c r="L19" s="7"/>
      <c r="R19" s="5" t="s">
        <v>52</v>
      </c>
      <c r="S19" s="29">
        <f>U21/R42</f>
        <v>8.0387193175883489</v>
      </c>
      <c r="U19" s="7"/>
      <c r="V19" s="7"/>
    </row>
    <row r="20" spans="2:23" ht="18" thickTop="1" thickBot="1" x14ac:dyDescent="0.25">
      <c r="U20" s="7"/>
      <c r="V20" s="7"/>
    </row>
    <row r="21" spans="2:23" ht="17" thickTop="1" x14ac:dyDescent="0.2">
      <c r="R21" s="1" t="s">
        <v>50</v>
      </c>
      <c r="S21" s="30"/>
      <c r="T21" s="30" t="s">
        <v>44</v>
      </c>
      <c r="U21" s="31">
        <f>R5*S5+U9</f>
        <v>5115000</v>
      </c>
    </row>
    <row r="22" spans="2:23" ht="17" thickBot="1" x14ac:dyDescent="0.25">
      <c r="R22" s="5" t="s">
        <v>53</v>
      </c>
      <c r="S22" s="17"/>
      <c r="T22" s="17" t="s">
        <v>44</v>
      </c>
      <c r="U22" s="18">
        <f>R5*S5</f>
        <v>4400000</v>
      </c>
    </row>
    <row r="23" spans="2:23" ht="17" thickTop="1" x14ac:dyDescent="0.2">
      <c r="R23" s="7"/>
    </row>
    <row r="24" spans="2:23" x14ac:dyDescent="0.2">
      <c r="R24" s="7"/>
    </row>
    <row r="25" spans="2:23" x14ac:dyDescent="0.2">
      <c r="R25" s="7"/>
    </row>
    <row r="26" spans="2:23" x14ac:dyDescent="0.2">
      <c r="R26" s="7"/>
    </row>
    <row r="28" spans="2:23" ht="17" thickBot="1" x14ac:dyDescent="0.25"/>
    <row r="29" spans="2:23" ht="52" thickTop="1" x14ac:dyDescent="0.2">
      <c r="B29" s="32" t="s">
        <v>26</v>
      </c>
      <c r="C29" s="9" t="s">
        <v>27</v>
      </c>
      <c r="D29" s="9" t="s">
        <v>28</v>
      </c>
      <c r="E29" s="9" t="s">
        <v>29</v>
      </c>
      <c r="F29" s="9" t="s">
        <v>30</v>
      </c>
      <c r="G29" s="9" t="s">
        <v>32</v>
      </c>
      <c r="H29" s="33" t="s">
        <v>36</v>
      </c>
      <c r="I29" s="33" t="s">
        <v>37</v>
      </c>
      <c r="J29" s="33" t="s">
        <v>35</v>
      </c>
      <c r="K29" s="9" t="s">
        <v>38</v>
      </c>
      <c r="L29" s="9" t="s">
        <v>39</v>
      </c>
      <c r="M29" s="9" t="s">
        <v>40</v>
      </c>
      <c r="N29" s="9" t="s">
        <v>41</v>
      </c>
      <c r="O29" s="9" t="s">
        <v>42</v>
      </c>
      <c r="P29" s="9" t="s">
        <v>43</v>
      </c>
      <c r="Q29" s="9" t="s">
        <v>45</v>
      </c>
      <c r="R29" s="9" t="s">
        <v>31</v>
      </c>
      <c r="S29" s="9" t="s">
        <v>47</v>
      </c>
      <c r="T29" s="9" t="s">
        <v>46</v>
      </c>
      <c r="U29" s="9" t="s">
        <v>56</v>
      </c>
      <c r="V29" s="10" t="s">
        <v>57</v>
      </c>
    </row>
    <row r="30" spans="2:23" x14ac:dyDescent="0.2">
      <c r="B30" s="34">
        <f t="shared" ref="B30:B41" si="16">$R$5*D3</f>
        <v>2557500</v>
      </c>
      <c r="C30" s="11">
        <f t="shared" ref="C30:C41" si="17">B30*$W$5/1000</f>
        <v>639375</v>
      </c>
      <c r="D30" s="11">
        <f t="shared" ref="D30:D41" si="18">C30*$U$5/$S$1</f>
        <v>39346.153846153844</v>
      </c>
      <c r="E30" s="11">
        <f t="shared" ref="E30:E41" si="19">B30*$V$5/$S$1</f>
        <v>23607.692307692309</v>
      </c>
      <c r="F30" s="12">
        <f>D30+E30</f>
        <v>62953.846153846156</v>
      </c>
      <c r="G30" s="12">
        <f t="shared" ref="G30:G41" si="20">E3-B30</f>
        <v>3022500</v>
      </c>
      <c r="H30" s="12">
        <f t="shared" ref="H30:H41" si="21">24-C3</f>
        <v>9</v>
      </c>
      <c r="I30" s="11">
        <f>H30*$R$5*A3</f>
        <v>1534500</v>
      </c>
      <c r="J30" s="35" t="str">
        <f>IF(G30&gt;I30,"Y","N")</f>
        <v>Y</v>
      </c>
      <c r="K30" s="11">
        <f>IF(J30="Y",I30,G30)</f>
        <v>1534500</v>
      </c>
      <c r="L30" s="12">
        <f t="shared" ref="L30:L41" si="22">K30/$R$5</f>
        <v>279</v>
      </c>
      <c r="M30" s="12">
        <f t="shared" ref="M30:M41" si="23">L30*$R$5*$W$5/1000</f>
        <v>383625</v>
      </c>
      <c r="N30" s="11">
        <f t="shared" ref="N30:N41" si="24">M30*$U$5/$S$1</f>
        <v>23607.692307692309</v>
      </c>
      <c r="O30" s="12">
        <f t="shared" ref="O30:O41" si="25">K30*$V$5/$S$1</f>
        <v>14164.615384615385</v>
      </c>
      <c r="P30" s="11">
        <f t="shared" ref="P30:P41" si="26">O30+N30+F30</f>
        <v>100726.15384615384</v>
      </c>
      <c r="Q30" s="12">
        <f t="shared" ref="Q30:Q41" si="27">B30+K30</f>
        <v>4092000</v>
      </c>
      <c r="R30" s="12">
        <f t="shared" ref="R30:R41" si="28">(Q30*$R$13-Q30*$S$16)/$S$1</f>
        <v>119612.30769230767</v>
      </c>
      <c r="S30" s="12">
        <f t="shared" ref="S30:S41" si="29">E3-Q30</f>
        <v>1488000</v>
      </c>
      <c r="T30" s="11">
        <f t="shared" ref="T30:T41" si="30">S30*$R$13/$S$1</f>
        <v>80123.076923076922</v>
      </c>
      <c r="U30" s="12">
        <f>O3</f>
        <v>300461.53846153844</v>
      </c>
      <c r="V30" s="13">
        <f>P30+T30</f>
        <v>180849.23076923075</v>
      </c>
    </row>
    <row r="31" spans="2:23" x14ac:dyDescent="0.2">
      <c r="B31" s="34">
        <f t="shared" si="16"/>
        <v>2002000</v>
      </c>
      <c r="C31" s="11">
        <f t="shared" si="17"/>
        <v>500500</v>
      </c>
      <c r="D31" s="11">
        <f t="shared" si="18"/>
        <v>30800</v>
      </c>
      <c r="E31" s="11">
        <f t="shared" si="19"/>
        <v>18480</v>
      </c>
      <c r="F31" s="12">
        <f t="shared" ref="F31:F41" si="31">D31+E31</f>
        <v>49280</v>
      </c>
      <c r="G31" s="12">
        <f t="shared" si="20"/>
        <v>2366000</v>
      </c>
      <c r="H31" s="12">
        <f t="shared" si="21"/>
        <v>11</v>
      </c>
      <c r="I31" s="11">
        <f t="shared" ref="I31:I41" si="32">H31*$R$5*A4</f>
        <v>1694000</v>
      </c>
      <c r="J31" s="35" t="str">
        <f t="shared" ref="J31:J40" si="33">IF(G31&gt;I31,"Y","N")</f>
        <v>Y</v>
      </c>
      <c r="K31" s="11">
        <f t="shared" ref="K31:K40" si="34">IF(J31="Y",I31,G31)</f>
        <v>1694000</v>
      </c>
      <c r="L31" s="12">
        <f t="shared" si="22"/>
        <v>308</v>
      </c>
      <c r="M31" s="12">
        <f t="shared" si="23"/>
        <v>423500</v>
      </c>
      <c r="N31" s="11">
        <f t="shared" si="24"/>
        <v>26061.538461538461</v>
      </c>
      <c r="O31" s="12">
        <f t="shared" si="25"/>
        <v>15636.923076923076</v>
      </c>
      <c r="P31" s="11">
        <f t="shared" si="26"/>
        <v>90978.461538461532</v>
      </c>
      <c r="Q31" s="12">
        <f t="shared" si="27"/>
        <v>3696000</v>
      </c>
      <c r="R31" s="12">
        <f t="shared" si="28"/>
        <v>108036.92307692305</v>
      </c>
      <c r="S31" s="12">
        <f t="shared" si="29"/>
        <v>672000</v>
      </c>
      <c r="T31" s="11">
        <f t="shared" si="30"/>
        <v>36184.615384615383</v>
      </c>
      <c r="U31" s="12">
        <f t="shared" ref="U31:U41" si="35">O4</f>
        <v>235200</v>
      </c>
      <c r="V31" s="13">
        <f t="shared" ref="V31:V41" si="36">P31+T31</f>
        <v>127163.07692307691</v>
      </c>
    </row>
    <row r="32" spans="2:23" x14ac:dyDescent="0.2">
      <c r="B32" s="34">
        <f t="shared" si="16"/>
        <v>2046000</v>
      </c>
      <c r="C32" s="11">
        <f t="shared" si="17"/>
        <v>511500</v>
      </c>
      <c r="D32" s="11">
        <f t="shared" si="18"/>
        <v>31476.923076923078</v>
      </c>
      <c r="E32" s="11">
        <f t="shared" si="19"/>
        <v>18886.153846153848</v>
      </c>
      <c r="F32" s="12">
        <f t="shared" si="31"/>
        <v>50363.076923076922</v>
      </c>
      <c r="G32" s="12">
        <f t="shared" si="20"/>
        <v>2418000</v>
      </c>
      <c r="H32" s="12">
        <f t="shared" si="21"/>
        <v>12</v>
      </c>
      <c r="I32" s="11">
        <f t="shared" si="32"/>
        <v>2046000</v>
      </c>
      <c r="J32" s="35" t="str">
        <f t="shared" si="33"/>
        <v>Y</v>
      </c>
      <c r="K32" s="11">
        <f t="shared" si="34"/>
        <v>2046000</v>
      </c>
      <c r="L32" s="12">
        <f t="shared" si="22"/>
        <v>372</v>
      </c>
      <c r="M32" s="12">
        <f t="shared" si="23"/>
        <v>511500</v>
      </c>
      <c r="N32" s="11">
        <f t="shared" si="24"/>
        <v>31476.923076923078</v>
      </c>
      <c r="O32" s="12">
        <f t="shared" si="25"/>
        <v>18886.153846153848</v>
      </c>
      <c r="P32" s="11">
        <f t="shared" si="26"/>
        <v>100726.15384615384</v>
      </c>
      <c r="Q32" s="12">
        <f t="shared" si="27"/>
        <v>4092000</v>
      </c>
      <c r="R32" s="12">
        <f t="shared" si="28"/>
        <v>119612.30769230767</v>
      </c>
      <c r="S32" s="12">
        <f t="shared" si="29"/>
        <v>372000</v>
      </c>
      <c r="T32" s="11">
        <f t="shared" si="30"/>
        <v>20030.76923076923</v>
      </c>
      <c r="U32" s="12">
        <f t="shared" si="35"/>
        <v>240369.23076923078</v>
      </c>
      <c r="V32" s="13">
        <f t="shared" si="36"/>
        <v>120756.92307692308</v>
      </c>
    </row>
    <row r="33" spans="2:22" x14ac:dyDescent="0.2">
      <c r="B33" s="34">
        <f t="shared" si="16"/>
        <v>330000</v>
      </c>
      <c r="C33" s="11">
        <f t="shared" si="17"/>
        <v>82500</v>
      </c>
      <c r="D33" s="11">
        <f t="shared" si="18"/>
        <v>5076.9230769230771</v>
      </c>
      <c r="E33" s="11">
        <f t="shared" si="19"/>
        <v>3046.1538461538462</v>
      </c>
      <c r="F33" s="12">
        <f t="shared" si="31"/>
        <v>8123.0769230769238</v>
      </c>
      <c r="G33" s="12">
        <f t="shared" si="20"/>
        <v>390000</v>
      </c>
      <c r="H33" s="12">
        <f t="shared" si="21"/>
        <v>22</v>
      </c>
      <c r="I33" s="11">
        <f t="shared" si="32"/>
        <v>3630000</v>
      </c>
      <c r="J33" s="35" t="str">
        <f t="shared" si="33"/>
        <v>N</v>
      </c>
      <c r="K33" s="11">
        <f t="shared" si="34"/>
        <v>390000</v>
      </c>
      <c r="L33" s="12">
        <f t="shared" si="22"/>
        <v>70.909090909090907</v>
      </c>
      <c r="M33" s="12">
        <f t="shared" si="23"/>
        <v>97500</v>
      </c>
      <c r="N33" s="11">
        <f t="shared" si="24"/>
        <v>6000</v>
      </c>
      <c r="O33" s="12">
        <f t="shared" si="25"/>
        <v>3600</v>
      </c>
      <c r="P33" s="11">
        <f t="shared" si="26"/>
        <v>17723.076923076922</v>
      </c>
      <c r="Q33" s="12">
        <f t="shared" si="27"/>
        <v>720000</v>
      </c>
      <c r="R33" s="12">
        <f t="shared" si="28"/>
        <v>21046.153846153844</v>
      </c>
      <c r="S33" s="12">
        <f t="shared" si="29"/>
        <v>0</v>
      </c>
      <c r="T33" s="11">
        <f t="shared" si="30"/>
        <v>0</v>
      </c>
      <c r="U33" s="12">
        <f t="shared" si="35"/>
        <v>38769.230769230766</v>
      </c>
      <c r="V33" s="13">
        <f t="shared" si="36"/>
        <v>17723.076923076922</v>
      </c>
    </row>
    <row r="34" spans="2:22" x14ac:dyDescent="0.2">
      <c r="B34" s="34">
        <f t="shared" si="16"/>
        <v>0</v>
      </c>
      <c r="C34" s="11">
        <f t="shared" si="17"/>
        <v>0</v>
      </c>
      <c r="D34" s="11">
        <f t="shared" si="18"/>
        <v>0</v>
      </c>
      <c r="E34" s="11">
        <f t="shared" si="19"/>
        <v>0</v>
      </c>
      <c r="F34" s="12">
        <f t="shared" si="31"/>
        <v>0</v>
      </c>
      <c r="G34" s="12">
        <f t="shared" si="20"/>
        <v>0</v>
      </c>
      <c r="H34" s="12">
        <f t="shared" si="21"/>
        <v>24</v>
      </c>
      <c r="I34" s="11">
        <f t="shared" si="32"/>
        <v>4092000</v>
      </c>
      <c r="J34" s="35" t="str">
        <f t="shared" si="33"/>
        <v>N</v>
      </c>
      <c r="K34" s="11">
        <f t="shared" si="34"/>
        <v>0</v>
      </c>
      <c r="L34" s="12">
        <f t="shared" si="22"/>
        <v>0</v>
      </c>
      <c r="M34" s="12">
        <f t="shared" si="23"/>
        <v>0</v>
      </c>
      <c r="N34" s="11">
        <f t="shared" si="24"/>
        <v>0</v>
      </c>
      <c r="O34" s="12">
        <f t="shared" si="25"/>
        <v>0</v>
      </c>
      <c r="P34" s="11">
        <f t="shared" si="26"/>
        <v>0</v>
      </c>
      <c r="Q34" s="12">
        <f t="shared" si="27"/>
        <v>0</v>
      </c>
      <c r="R34" s="12">
        <f t="shared" si="28"/>
        <v>0</v>
      </c>
      <c r="S34" s="12">
        <f t="shared" si="29"/>
        <v>0</v>
      </c>
      <c r="T34" s="11">
        <f t="shared" si="30"/>
        <v>0</v>
      </c>
      <c r="U34" s="12">
        <f t="shared" si="35"/>
        <v>0</v>
      </c>
      <c r="V34" s="13">
        <f t="shared" si="36"/>
        <v>0</v>
      </c>
    </row>
    <row r="35" spans="2:22" x14ac:dyDescent="0.2">
      <c r="B35" s="34">
        <f t="shared" si="16"/>
        <v>0</v>
      </c>
      <c r="C35" s="11">
        <f t="shared" si="17"/>
        <v>0</v>
      </c>
      <c r="D35" s="11">
        <f t="shared" si="18"/>
        <v>0</v>
      </c>
      <c r="E35" s="11">
        <f t="shared" si="19"/>
        <v>0</v>
      </c>
      <c r="F35" s="12">
        <f t="shared" si="31"/>
        <v>0</v>
      </c>
      <c r="G35" s="12">
        <f t="shared" si="20"/>
        <v>0</v>
      </c>
      <c r="H35" s="12">
        <f t="shared" si="21"/>
        <v>24</v>
      </c>
      <c r="I35" s="11">
        <f t="shared" si="32"/>
        <v>3960000</v>
      </c>
      <c r="J35" s="35" t="str">
        <f t="shared" si="33"/>
        <v>N</v>
      </c>
      <c r="K35" s="11">
        <f t="shared" si="34"/>
        <v>0</v>
      </c>
      <c r="L35" s="12">
        <f t="shared" si="22"/>
        <v>0</v>
      </c>
      <c r="M35" s="12">
        <f t="shared" si="23"/>
        <v>0</v>
      </c>
      <c r="N35" s="11">
        <f t="shared" si="24"/>
        <v>0</v>
      </c>
      <c r="O35" s="12">
        <f t="shared" si="25"/>
        <v>0</v>
      </c>
      <c r="P35" s="11">
        <f t="shared" si="26"/>
        <v>0</v>
      </c>
      <c r="Q35" s="12">
        <f t="shared" si="27"/>
        <v>0</v>
      </c>
      <c r="R35" s="12">
        <f t="shared" si="28"/>
        <v>0</v>
      </c>
      <c r="S35" s="12">
        <f t="shared" si="29"/>
        <v>0</v>
      </c>
      <c r="T35" s="11">
        <f t="shared" si="30"/>
        <v>0</v>
      </c>
      <c r="U35" s="12">
        <f t="shared" si="35"/>
        <v>0</v>
      </c>
      <c r="V35" s="13">
        <f t="shared" si="36"/>
        <v>0</v>
      </c>
    </row>
    <row r="36" spans="2:22" x14ac:dyDescent="0.2">
      <c r="B36" s="34">
        <f t="shared" si="16"/>
        <v>0</v>
      </c>
      <c r="C36" s="11">
        <f t="shared" si="17"/>
        <v>0</v>
      </c>
      <c r="D36" s="11">
        <f t="shared" si="18"/>
        <v>0</v>
      </c>
      <c r="E36" s="11">
        <f t="shared" si="19"/>
        <v>0</v>
      </c>
      <c r="F36" s="12">
        <f t="shared" si="31"/>
        <v>0</v>
      </c>
      <c r="G36" s="12">
        <f t="shared" si="20"/>
        <v>0</v>
      </c>
      <c r="H36" s="12">
        <f t="shared" si="21"/>
        <v>24</v>
      </c>
      <c r="I36" s="11">
        <f t="shared" si="32"/>
        <v>4092000</v>
      </c>
      <c r="J36" s="35" t="str">
        <f t="shared" si="33"/>
        <v>N</v>
      </c>
      <c r="K36" s="11">
        <f t="shared" si="34"/>
        <v>0</v>
      </c>
      <c r="L36" s="12">
        <f t="shared" si="22"/>
        <v>0</v>
      </c>
      <c r="M36" s="12">
        <f t="shared" si="23"/>
        <v>0</v>
      </c>
      <c r="N36" s="11">
        <f t="shared" si="24"/>
        <v>0</v>
      </c>
      <c r="O36" s="12">
        <f t="shared" si="25"/>
        <v>0</v>
      </c>
      <c r="P36" s="11">
        <f t="shared" si="26"/>
        <v>0</v>
      </c>
      <c r="Q36" s="12">
        <f t="shared" si="27"/>
        <v>0</v>
      </c>
      <c r="R36" s="12">
        <f t="shared" si="28"/>
        <v>0</v>
      </c>
      <c r="S36" s="12">
        <f t="shared" si="29"/>
        <v>0</v>
      </c>
      <c r="T36" s="11">
        <f t="shared" si="30"/>
        <v>0</v>
      </c>
      <c r="U36" s="12">
        <f t="shared" si="35"/>
        <v>0</v>
      </c>
      <c r="V36" s="13">
        <f t="shared" si="36"/>
        <v>0</v>
      </c>
    </row>
    <row r="37" spans="2:22" x14ac:dyDescent="0.2">
      <c r="B37" s="34">
        <f t="shared" si="16"/>
        <v>0</v>
      </c>
      <c r="C37" s="11">
        <f t="shared" si="17"/>
        <v>0</v>
      </c>
      <c r="D37" s="11">
        <f t="shared" si="18"/>
        <v>0</v>
      </c>
      <c r="E37" s="11">
        <f t="shared" si="19"/>
        <v>0</v>
      </c>
      <c r="F37" s="12">
        <f t="shared" si="31"/>
        <v>0</v>
      </c>
      <c r="G37" s="12">
        <f t="shared" si="20"/>
        <v>0</v>
      </c>
      <c r="H37" s="12">
        <f t="shared" si="21"/>
        <v>24</v>
      </c>
      <c r="I37" s="11">
        <f t="shared" si="32"/>
        <v>4092000</v>
      </c>
      <c r="J37" s="35" t="str">
        <f t="shared" si="33"/>
        <v>N</v>
      </c>
      <c r="K37" s="11">
        <f t="shared" si="34"/>
        <v>0</v>
      </c>
      <c r="L37" s="12">
        <f t="shared" si="22"/>
        <v>0</v>
      </c>
      <c r="M37" s="12">
        <f t="shared" si="23"/>
        <v>0</v>
      </c>
      <c r="N37" s="11">
        <f t="shared" si="24"/>
        <v>0</v>
      </c>
      <c r="O37" s="12">
        <f t="shared" si="25"/>
        <v>0</v>
      </c>
      <c r="P37" s="11">
        <f t="shared" si="26"/>
        <v>0</v>
      </c>
      <c r="Q37" s="12">
        <f t="shared" si="27"/>
        <v>0</v>
      </c>
      <c r="R37" s="12">
        <f t="shared" si="28"/>
        <v>0</v>
      </c>
      <c r="S37" s="12">
        <f t="shared" si="29"/>
        <v>0</v>
      </c>
      <c r="T37" s="11">
        <f t="shared" si="30"/>
        <v>0</v>
      </c>
      <c r="U37" s="12">
        <f t="shared" si="35"/>
        <v>0</v>
      </c>
      <c r="V37" s="13">
        <f t="shared" si="36"/>
        <v>0</v>
      </c>
    </row>
    <row r="38" spans="2:22" x14ac:dyDescent="0.2">
      <c r="B38" s="34">
        <f t="shared" si="16"/>
        <v>0</v>
      </c>
      <c r="C38" s="11">
        <f t="shared" si="17"/>
        <v>0</v>
      </c>
      <c r="D38" s="11">
        <f t="shared" si="18"/>
        <v>0</v>
      </c>
      <c r="E38" s="11">
        <f t="shared" si="19"/>
        <v>0</v>
      </c>
      <c r="F38" s="12">
        <f t="shared" si="31"/>
        <v>0</v>
      </c>
      <c r="G38" s="12">
        <f t="shared" si="20"/>
        <v>0</v>
      </c>
      <c r="H38" s="12">
        <f t="shared" si="21"/>
        <v>24</v>
      </c>
      <c r="I38" s="11">
        <f t="shared" si="32"/>
        <v>3960000</v>
      </c>
      <c r="J38" s="35" t="str">
        <f t="shared" si="33"/>
        <v>N</v>
      </c>
      <c r="K38" s="11">
        <f t="shared" si="34"/>
        <v>0</v>
      </c>
      <c r="L38" s="12">
        <f t="shared" si="22"/>
        <v>0</v>
      </c>
      <c r="M38" s="12">
        <f t="shared" si="23"/>
        <v>0</v>
      </c>
      <c r="N38" s="11">
        <f t="shared" si="24"/>
        <v>0</v>
      </c>
      <c r="O38" s="12">
        <f t="shared" si="25"/>
        <v>0</v>
      </c>
      <c r="P38" s="11">
        <f t="shared" si="26"/>
        <v>0</v>
      </c>
      <c r="Q38" s="12">
        <f t="shared" si="27"/>
        <v>0</v>
      </c>
      <c r="R38" s="12">
        <f t="shared" si="28"/>
        <v>0</v>
      </c>
      <c r="S38" s="12">
        <f t="shared" si="29"/>
        <v>0</v>
      </c>
      <c r="T38" s="11">
        <f t="shared" si="30"/>
        <v>0</v>
      </c>
      <c r="U38" s="12">
        <f t="shared" si="35"/>
        <v>0</v>
      </c>
      <c r="V38" s="13">
        <f t="shared" si="36"/>
        <v>0</v>
      </c>
    </row>
    <row r="39" spans="2:22" x14ac:dyDescent="0.2">
      <c r="B39" s="34">
        <f t="shared" si="16"/>
        <v>511500</v>
      </c>
      <c r="C39" s="11">
        <f t="shared" si="17"/>
        <v>127875</v>
      </c>
      <c r="D39" s="11">
        <f t="shared" si="18"/>
        <v>7869.2307692307695</v>
      </c>
      <c r="E39" s="11">
        <f t="shared" si="19"/>
        <v>4721.5384615384619</v>
      </c>
      <c r="F39" s="12">
        <f t="shared" si="31"/>
        <v>12590.76923076923</v>
      </c>
      <c r="G39" s="12">
        <f t="shared" si="20"/>
        <v>604500</v>
      </c>
      <c r="H39" s="12">
        <f t="shared" si="21"/>
        <v>21</v>
      </c>
      <c r="I39" s="11">
        <f t="shared" si="32"/>
        <v>3580500</v>
      </c>
      <c r="J39" s="35" t="str">
        <f t="shared" si="33"/>
        <v>N</v>
      </c>
      <c r="K39" s="11">
        <f t="shared" si="34"/>
        <v>604500</v>
      </c>
      <c r="L39" s="12">
        <f t="shared" si="22"/>
        <v>109.90909090909091</v>
      </c>
      <c r="M39" s="12">
        <f t="shared" si="23"/>
        <v>151125</v>
      </c>
      <c r="N39" s="11">
        <f t="shared" si="24"/>
        <v>9300</v>
      </c>
      <c r="O39" s="12">
        <f t="shared" si="25"/>
        <v>5580</v>
      </c>
      <c r="P39" s="11">
        <f t="shared" si="26"/>
        <v>27470.76923076923</v>
      </c>
      <c r="Q39" s="12">
        <f t="shared" si="27"/>
        <v>1116000</v>
      </c>
      <c r="R39" s="12">
        <f t="shared" si="28"/>
        <v>32621.538461538457</v>
      </c>
      <c r="S39" s="12">
        <f t="shared" si="29"/>
        <v>0</v>
      </c>
      <c r="T39" s="11">
        <f t="shared" si="30"/>
        <v>0</v>
      </c>
      <c r="U39" s="12">
        <f t="shared" si="35"/>
        <v>60092.307692307695</v>
      </c>
      <c r="V39" s="13">
        <f t="shared" si="36"/>
        <v>27470.76923076923</v>
      </c>
    </row>
    <row r="40" spans="2:22" x14ac:dyDescent="0.2">
      <c r="B40" s="34">
        <f t="shared" si="16"/>
        <v>2145000</v>
      </c>
      <c r="C40" s="11">
        <f t="shared" si="17"/>
        <v>536250</v>
      </c>
      <c r="D40" s="11">
        <f t="shared" si="18"/>
        <v>33000</v>
      </c>
      <c r="E40" s="11">
        <f t="shared" si="19"/>
        <v>19800</v>
      </c>
      <c r="F40" s="12">
        <f t="shared" si="31"/>
        <v>52800</v>
      </c>
      <c r="G40" s="12">
        <f t="shared" si="20"/>
        <v>2535000</v>
      </c>
      <c r="H40" s="12">
        <f t="shared" si="21"/>
        <v>11</v>
      </c>
      <c r="I40" s="11">
        <f t="shared" si="32"/>
        <v>1815000</v>
      </c>
      <c r="J40" s="35" t="str">
        <f t="shared" si="33"/>
        <v>Y</v>
      </c>
      <c r="K40" s="11">
        <f t="shared" si="34"/>
        <v>1815000</v>
      </c>
      <c r="L40" s="12">
        <f t="shared" si="22"/>
        <v>330</v>
      </c>
      <c r="M40" s="12">
        <f t="shared" si="23"/>
        <v>453750</v>
      </c>
      <c r="N40" s="11">
        <f t="shared" si="24"/>
        <v>27923.076923076922</v>
      </c>
      <c r="O40" s="12">
        <f t="shared" si="25"/>
        <v>16753.846153846152</v>
      </c>
      <c r="P40" s="11">
        <f t="shared" si="26"/>
        <v>97476.923076923078</v>
      </c>
      <c r="Q40" s="12">
        <f t="shared" si="27"/>
        <v>3960000</v>
      </c>
      <c r="R40" s="12">
        <f t="shared" si="28"/>
        <v>115753.84615384613</v>
      </c>
      <c r="S40" s="12">
        <f t="shared" si="29"/>
        <v>720000</v>
      </c>
      <c r="T40" s="11">
        <f t="shared" si="30"/>
        <v>38769.230769230766</v>
      </c>
      <c r="U40" s="12">
        <f t="shared" si="35"/>
        <v>252000</v>
      </c>
      <c r="V40" s="13">
        <f t="shared" si="36"/>
        <v>136246.15384615384</v>
      </c>
    </row>
    <row r="41" spans="2:22" ht="19" x14ac:dyDescent="0.35">
      <c r="B41" s="34">
        <f t="shared" si="16"/>
        <v>2898500</v>
      </c>
      <c r="C41" s="14">
        <f t="shared" si="17"/>
        <v>724625</v>
      </c>
      <c r="D41" s="14">
        <f t="shared" si="18"/>
        <v>44592.307692307695</v>
      </c>
      <c r="E41" s="14">
        <f t="shared" si="19"/>
        <v>26755.384615384617</v>
      </c>
      <c r="F41" s="14">
        <f t="shared" si="31"/>
        <v>71347.692307692312</v>
      </c>
      <c r="G41" s="14">
        <f t="shared" si="20"/>
        <v>3425500</v>
      </c>
      <c r="H41" s="14">
        <f t="shared" si="21"/>
        <v>7</v>
      </c>
      <c r="I41" s="11">
        <f t="shared" si="32"/>
        <v>1193500</v>
      </c>
      <c r="J41" s="36" t="str">
        <f t="shared" ref="J41" si="37">IF(G41&gt;I41,"Y","N")</f>
        <v>Y</v>
      </c>
      <c r="K41" s="14">
        <f t="shared" ref="K41" si="38">IF(J41="Y",I41,G41)</f>
        <v>1193500</v>
      </c>
      <c r="L41" s="15">
        <f t="shared" si="22"/>
        <v>217</v>
      </c>
      <c r="M41" s="15">
        <f t="shared" si="23"/>
        <v>298375</v>
      </c>
      <c r="N41" s="14">
        <f t="shared" si="24"/>
        <v>18361.538461538461</v>
      </c>
      <c r="O41" s="15">
        <f t="shared" si="25"/>
        <v>11016.923076923076</v>
      </c>
      <c r="P41" s="14">
        <f t="shared" si="26"/>
        <v>100726.15384615384</v>
      </c>
      <c r="Q41" s="15">
        <f t="shared" si="27"/>
        <v>4092000</v>
      </c>
      <c r="R41" s="15">
        <f t="shared" si="28"/>
        <v>119612.30769230767</v>
      </c>
      <c r="S41" s="15">
        <f t="shared" si="29"/>
        <v>2232000</v>
      </c>
      <c r="T41" s="14">
        <f t="shared" si="30"/>
        <v>120184.61538461539</v>
      </c>
      <c r="U41" s="15">
        <f t="shared" si="35"/>
        <v>340523.07692307694</v>
      </c>
      <c r="V41" s="16">
        <f t="shared" si="36"/>
        <v>220910.76923076925</v>
      </c>
    </row>
    <row r="42" spans="2:22" ht="17" thickBot="1" x14ac:dyDescent="0.25">
      <c r="B42" s="37">
        <f t="shared" ref="B42" si="39">SUM(B30:B41)</f>
        <v>12490500</v>
      </c>
      <c r="C42" s="17">
        <f t="shared" ref="C42" si="40">SUM(C30:C41)</f>
        <v>3122625</v>
      </c>
      <c r="D42" s="17">
        <f t="shared" ref="D42" si="41">SUM(D30:D41)</f>
        <v>192161.53846153844</v>
      </c>
      <c r="E42" s="17">
        <f t="shared" ref="E42" si="42">SUM(E30:E41)</f>
        <v>115296.92307692309</v>
      </c>
      <c r="F42" s="17">
        <f t="shared" ref="F42" si="43">SUM(F30:F41)</f>
        <v>307458.4615384615</v>
      </c>
      <c r="G42" s="17">
        <f t="shared" ref="G42" si="44">SUM(G30:G41)</f>
        <v>14761500</v>
      </c>
      <c r="H42" s="6"/>
      <c r="I42" s="6"/>
      <c r="J42" s="6"/>
      <c r="K42" s="17">
        <f t="shared" ref="K42:L42" si="45">SUM(K30:K41)</f>
        <v>9277500</v>
      </c>
      <c r="L42" s="17">
        <f t="shared" si="45"/>
        <v>1686.818181818182</v>
      </c>
      <c r="M42" s="17">
        <f t="shared" ref="M42" si="46">SUM(M30:M41)</f>
        <v>2319375</v>
      </c>
      <c r="N42" s="17">
        <f t="shared" ref="N42:P42" si="47">SUM(N30:N41)</f>
        <v>142730.76923076922</v>
      </c>
      <c r="O42" s="17">
        <f t="shared" si="47"/>
        <v>85638.461538461546</v>
      </c>
      <c r="P42" s="17">
        <f t="shared" si="47"/>
        <v>535827.69230769237</v>
      </c>
      <c r="Q42" s="17">
        <f t="shared" ref="Q42:V42" si="48">SUM(Q30:Q41)</f>
        <v>21768000</v>
      </c>
      <c r="R42" s="17">
        <f>SUM(R30:R41)</f>
        <v>636295.38461538451</v>
      </c>
      <c r="S42" s="17">
        <f>SUM(S30:S41)</f>
        <v>5484000</v>
      </c>
      <c r="T42" s="17">
        <f t="shared" si="48"/>
        <v>295292.30769230769</v>
      </c>
      <c r="U42" s="17">
        <f t="shared" si="48"/>
        <v>1467415.3846153847</v>
      </c>
      <c r="V42" s="18">
        <f t="shared" si="48"/>
        <v>831120</v>
      </c>
    </row>
    <row r="43" spans="2:22" ht="17" thickTop="1" x14ac:dyDescent="0.2"/>
    <row r="44" spans="2:22" x14ac:dyDescent="0.2">
      <c r="Q44" s="8"/>
      <c r="V44" s="8"/>
    </row>
  </sheetData>
  <pageMargins left="0.7" right="0.7" top="0.75" bottom="0.75" header="0.3" footer="0.3"/>
  <pageSetup paperSize="9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9AED5A-13C7-D84A-8C2A-521C40AC4744}">
  <dimension ref="A4"/>
  <sheetViews>
    <sheetView zoomScale="150" workbookViewId="0">
      <selection sqref="A1:E13"/>
    </sheetView>
  </sheetViews>
  <sheetFormatPr baseColWidth="10" defaultRowHeight="16" x14ac:dyDescent="0.2"/>
  <cols>
    <col min="1" max="1" width="11" bestFit="1" customWidth="1"/>
    <col min="2" max="2" width="15.1640625" bestFit="1" customWidth="1"/>
    <col min="3" max="3" width="13" bestFit="1" customWidth="1"/>
    <col min="5" max="5" width="13.83203125" bestFit="1" customWidth="1"/>
  </cols>
  <sheetData>
    <row r="4" s="7" customFormat="1" x14ac:dyDescent="0.2"/>
  </sheetData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Sources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Richard Harazim</dc:creator>
  <cp:lastModifiedBy>Richard Harazim</cp:lastModifiedBy>
  <dcterms:created xsi:type="dcterms:W3CDTF">2025-10-06T03:18:35Z</dcterms:created>
  <dcterms:modified xsi:type="dcterms:W3CDTF">2025-10-07T06:56:11Z</dcterms:modified>
</cp:coreProperties>
</file>